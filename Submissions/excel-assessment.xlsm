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USER\OneDrive\Desktop\Programming\python codes\GFG_Python\DataScience\Preparing_Project_\MapUp-Data-Assessment-F\Submissions\"/>
    </mc:Choice>
  </mc:AlternateContent>
  <xr:revisionPtr revIDLastSave="0" documentId="13_ncr:1_{E2ED97A6-F468-4F1E-B8C7-E16298DF8E03}"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F30" i="18"/>
  <c r="F29" i="18"/>
  <c r="E30" i="18"/>
  <c r="E29" i="18"/>
  <c r="D30" i="18"/>
  <c r="D29" i="18"/>
  <c r="C30" i="18"/>
  <c r="C29" i="18"/>
  <c r="B30" i="18"/>
  <c r="B29" i="18"/>
  <c r="F28" i="18"/>
  <c r="E28" i="18"/>
  <c r="D28" i="18"/>
  <c r="C28" i="18"/>
  <c r="B28" i="18"/>
  <c r="F7" i="18"/>
  <c r="F8" i="18"/>
  <c r="F9" i="18"/>
  <c r="F10" i="18"/>
  <c r="F11" i="18"/>
  <c r="F12" i="18"/>
  <c r="F13" i="18"/>
  <c r="F14" i="18"/>
  <c r="F15" i="18"/>
  <c r="F16" i="18"/>
  <c r="F17" i="18"/>
  <c r="F18" i="18"/>
  <c r="F19" i="18"/>
  <c r="F20" i="18"/>
  <c r="F21" i="18"/>
  <c r="F22" i="18"/>
  <c r="F23" i="18"/>
  <c r="F24" i="18"/>
  <c r="F25" i="18"/>
  <c r="F26" i="18"/>
  <c r="F27" i="18"/>
  <c r="F6" i="18"/>
  <c r="E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2" i="1"/>
  <c r="H41" i="1"/>
  <c r="C22" i="19" a="1"/>
  <c r="C22" i="19" s="1"/>
</calcChain>
</file>

<file path=xl/sharedStrings.xml><?xml version="1.0" encoding="utf-8"?>
<sst xmlns="http://schemas.openxmlformats.org/spreadsheetml/2006/main" count="412" uniqueCount="186">
  <si>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</si>
  <si>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</si>
  <si>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</si>
  <si>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</si>
  <si>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</si>
  <si>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</si>
  <si>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</si>
  <si>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</si>
  <si>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</si>
  <si>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</si>
  <si>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</si>
  <si>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</si>
  <si>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</si>
  <si>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</si>
  <si>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</si>
  <si>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</si>
  <si>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</si>
  <si>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</si>
  <si>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</si>
  <si>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</si>
  <si>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</si>
  <si>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</si>
  <si>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</si>
  <si>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</si>
  <si>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</si>
  <si>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</si>
  <si>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</si>
  <si>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</si>
  <si>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</si>
  <si>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</si>
  <si>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</si>
  <si>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</si>
  <si>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</si>
  <si>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</si>
  <si>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</si>
  <si>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</si>
  <si>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</si>
  <si>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</si>
  <si>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</si>
  <si>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</si>
  <si>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</si>
  <si>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</si>
  <si>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</si>
  <si>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</si>
  <si>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</si>
  <si>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</si>
  <si>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</si>
  <si>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</si>
  <si>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</si>
  <si>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</si>
  <si>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</si>
  <si>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</si>
  <si>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</si>
  <si>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</si>
  <si>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</si>
  <si>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</si>
  <si>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</si>
  <si>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</si>
  <si>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</si>
  <si>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</si>
  <si>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</si>
  <si>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</si>
  <si>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</si>
  <si>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</si>
  <si>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</si>
  <si>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</si>
  <si>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</si>
  <si>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</si>
  <si>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</si>
  <si>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</si>
  <si>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</si>
  <si>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</si>
  <si>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</si>
  <si>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</si>
  <si>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</si>
  <si>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</si>
  <si>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</si>
  <si>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</si>
  <si>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</si>
  <si>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</si>
  <si>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</si>
  <si>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</si>
  <si>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</si>
  <si>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</si>
  <si>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</si>
  <si>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</si>
  <si>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</si>
  <si>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</si>
  <si>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</si>
  <si>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</si>
  <si>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</si>
  <si>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</si>
  <si>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</si>
  <si>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</si>
  <si>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</si>
  <si>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</si>
  <si>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</si>
  <si>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</si>
  <si>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</si>
  <si>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</si>
  <si>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</si>
  <si>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</si>
  <si>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</si>
  <si>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</si>
  <si>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</si>
  <si>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</si>
  <si>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</si>
  <si>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</si>
  <si>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</si>
  <si>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</si>
  <si>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</si>
  <si>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</si>
  <si>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</si>
  <si>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</si>
  <si>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</si>
  <si>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</si>
  <si>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</si>
  <si>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</si>
  <si>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</si>
  <si>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</si>
  <si>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</si>
  <si>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</si>
  <si>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</si>
  <si>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</si>
  <si>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</si>
  <si>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</si>
  <si>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</si>
  <si>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</si>
  <si>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</si>
  <si>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</si>
  <si>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</si>
  <si>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</si>
  <si>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</si>
  <si>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</si>
  <si>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</si>
  <si>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</si>
  <si>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</si>
  <si>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</si>
  <si>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</si>
  <si>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</si>
  <si>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</si>
  <si>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</si>
  <si>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</si>
  <si>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</si>
  <si>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</si>
  <si>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</si>
  <si>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</si>
  <si>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</si>
  <si>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</si>
  <si>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</si>
  <si>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</si>
  <si>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</si>
  <si>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</si>
  <si>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</si>
  <si>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</si>
  <si>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</si>
  <si>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</si>
  <si>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</si>
  <si>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</si>
  <si>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</si>
  <si>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</si>
  <si>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</si>
  <si>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</si>
  <si>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</si>
  <si>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</si>
  <si>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</si>
  <si>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</si>
  <si>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</si>
  <si>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</si>
  <si>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</si>
  <si>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</si>
  <si>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</si>
  <si>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</si>
  <si>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</si>
  <si>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</si>
  <si>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</si>
  <si>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</si>
  <si>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Formula =SUM(IFNA(C12:C21, 20))</t>
  </si>
  <si>
    <t>The first thing I have done is that we need to select the C22 cell, which is the output cell. I have used the above formula to get the output. Here, I have selected C12-C21 because the data lies between these 2,</t>
  </si>
  <si>
    <t>then I have replaced the #N/A with the value 20, then I have used the sum function.</t>
  </si>
  <si>
    <t>DONE</t>
  </si>
  <si>
    <t>formula = =SUMIFS(H2:H40, H2:H40, "&gt;20")</t>
  </si>
  <si>
    <t>formated_date</t>
  </si>
  <si>
    <t>CTRL+E</t>
  </si>
  <si>
    <t>I have used the shortcut key to select and copy the word we want to split. After pasting it in another cell, we need to click the shortcut key to split the words.</t>
  </si>
  <si>
    <t>formula: =IFERROR(VLOOKUP(A23, $M$10:$N$18, 2, 0) &amp; VLOOKUP(B23, $M$10:$N$18, 2, 0) &amp; INDEX($B$9:$J$18, MATCH(A23, $A$9:$A$18, 0), MATCH(VLOOKUP(B23, $M$10:$N$18, 2, FALSE), $B$9:$J$9, 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</si>
</sst>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dd/mm/yyyy"/>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6">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9" xfId="0" applyFont="1" applyFill="1" applyBorder="1"/>
    <xf numFmtId="164" fontId="3" fillId="0" borderId="0" xfId="0" applyNumberFormat="1" applyFont="1"/>
    <xf numFmtId="0" fontId="8" fillId="0" borderId="1" xfId="0" applyFont="1" applyBorder="1"/>
    <xf numFmtId="0" fontId="9" fillId="0" borderId="1" xfId="0" applyFont="1" applyBorder="1"/>
    <xf numFmtId="166"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horizontal="center"/>
    </xf>
    <xf numFmtId="0" fontId="3" fillId="5" borderId="1" xfId="0" applyFont="1" applyFill="1" applyBorder="1" applyAlignment="1">
      <alignment horizontal="center"/>
    </xf>
    <xf numFmtId="0" fontId="7" fillId="0" borderId="0" xfId="0" applyFont="1" applyAlignment="1">
      <alignment horizont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B050"/>
      </font>
      <fill>
        <patternFill patternType="none">
          <bgColor auto="1"/>
        </patternFill>
      </fill>
    </dxf>
    <dxf>
      <font>
        <color rgb="FFFF0000"/>
      </font>
      <fill>
        <patternFill patternType="none">
          <bgColor auto="1"/>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7"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4" t="s">
        <v>171</v>
      </c>
      <c r="B9" s="24" t="s">
        <v>169</v>
      </c>
    </row>
    <row r="10" spans="1:3" x14ac:dyDescent="0.3">
      <c r="A10" s="33" t="s">
        <v>172</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170</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1"/>
  <sheetViews>
    <sheetView topLeftCell="O1" zoomScaleNormal="100" workbookViewId="0">
      <pane ySplit="1" topLeftCell="A2" activePane="bottomLeft" state="frozen"/>
      <selection pane="bottomLeft" activeCell="T2" sqref="T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2" customWidth="1"/>
    <col min="5" max="5" width="9.21875" style="1" bestFit="1" customWidth="1"/>
    <col min="6" max="6" width="10.44140625" style="22"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25" width="13.33203125" style="43" customWidth="1"/>
    <col min="26" max="16384" width="9" style="1"/>
  </cols>
  <sheetData>
    <row r="1" spans="1:25"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c r="Y1" s="45" t="s">
        <v>182</v>
      </c>
    </row>
    <row r="2" spans="1:25" x14ac:dyDescent="0.3">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5">
        <v>45051</v>
      </c>
      <c r="Y2" s="43" t="str">
        <f>TEXT(X2, "YYYY-MM-DD")</f>
        <v>2023-05-05</v>
      </c>
    </row>
    <row r="3" spans="1:25" x14ac:dyDescent="0.3">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5">
        <v>45048</v>
      </c>
      <c r="Y3" s="43" t="str">
        <f t="shared" ref="Y3:Y40" si="0">TEXT(X3, "YYYY-MM-DD")</f>
        <v>2023-05-02</v>
      </c>
    </row>
    <row r="4" spans="1:25" x14ac:dyDescent="0.3">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5">
        <v>45055</v>
      </c>
      <c r="Y4" s="43" t="str">
        <f t="shared" si="0"/>
        <v>2023-05-09</v>
      </c>
    </row>
    <row r="5" spans="1:25" x14ac:dyDescent="0.3">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5">
        <v>45059</v>
      </c>
      <c r="Y5" s="43" t="str">
        <f t="shared" si="0"/>
        <v>2023-05-13</v>
      </c>
    </row>
    <row r="6" spans="1:25" x14ac:dyDescent="0.3">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5">
        <v>45076</v>
      </c>
      <c r="Y6" s="43" t="str">
        <f t="shared" si="0"/>
        <v>2023-05-30</v>
      </c>
    </row>
    <row r="7" spans="1:25" x14ac:dyDescent="0.3">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5">
        <v>45057</v>
      </c>
      <c r="Y7" s="43" t="str">
        <f t="shared" si="0"/>
        <v>2023-05-11</v>
      </c>
    </row>
    <row r="8" spans="1:25" x14ac:dyDescent="0.3">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5">
        <v>45052</v>
      </c>
      <c r="Y8" s="43" t="str">
        <f t="shared" si="0"/>
        <v>2023-05-06</v>
      </c>
    </row>
    <row r="9" spans="1:25" x14ac:dyDescent="0.3">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5">
        <v>45098</v>
      </c>
      <c r="Y9" s="43" t="str">
        <f t="shared" si="0"/>
        <v>2023-06-21</v>
      </c>
    </row>
    <row r="10" spans="1:25" x14ac:dyDescent="0.3">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5">
        <v>45092</v>
      </c>
      <c r="Y10" s="43" t="str">
        <f t="shared" si="0"/>
        <v>2023-06-15</v>
      </c>
    </row>
    <row r="11" spans="1:25" x14ac:dyDescent="0.3">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5">
        <v>45104</v>
      </c>
      <c r="Y11" s="43" t="str">
        <f t="shared" si="0"/>
        <v>2023-06-27</v>
      </c>
    </row>
    <row r="12" spans="1:25" x14ac:dyDescent="0.3">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5">
        <v>45116</v>
      </c>
      <c r="Y12" s="43" t="str">
        <f t="shared" si="0"/>
        <v>2023-07-09</v>
      </c>
    </row>
    <row r="13" spans="1:25" x14ac:dyDescent="0.3">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5">
        <v>45110</v>
      </c>
      <c r="Y13" s="43" t="str">
        <f t="shared" si="0"/>
        <v>2023-07-03</v>
      </c>
    </row>
    <row r="14" spans="1:25" x14ac:dyDescent="0.3">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5">
        <v>45095</v>
      </c>
      <c r="Y14" s="43" t="str">
        <f t="shared" si="0"/>
        <v>2023-06-18</v>
      </c>
    </row>
    <row r="15" spans="1:25" x14ac:dyDescent="0.3">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5">
        <v>45113</v>
      </c>
      <c r="Y15" s="43" t="str">
        <f t="shared" si="0"/>
        <v>2023-07-06</v>
      </c>
    </row>
    <row r="16" spans="1:25" x14ac:dyDescent="0.3">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5">
        <v>45063</v>
      </c>
      <c r="Y16" s="43" t="str">
        <f t="shared" si="0"/>
        <v>2023-05-17</v>
      </c>
    </row>
    <row r="17" spans="1:25" x14ac:dyDescent="0.3">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5">
        <v>45071</v>
      </c>
      <c r="Y17" s="43" t="str">
        <f t="shared" si="0"/>
        <v>2023-05-25</v>
      </c>
    </row>
    <row r="18" spans="1:25" x14ac:dyDescent="0.3">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5">
        <v>45085</v>
      </c>
      <c r="Y18" s="43" t="str">
        <f t="shared" si="0"/>
        <v>2023-06-08</v>
      </c>
    </row>
    <row r="19" spans="1:25" x14ac:dyDescent="0.3">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5">
        <v>45099</v>
      </c>
      <c r="Y19" s="43" t="str">
        <f t="shared" si="0"/>
        <v>2023-06-22</v>
      </c>
    </row>
    <row r="20" spans="1:25" x14ac:dyDescent="0.3">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5">
        <v>45091</v>
      </c>
      <c r="Y20" s="43" t="str">
        <f t="shared" si="0"/>
        <v>2023-06-14</v>
      </c>
    </row>
    <row r="21" spans="1:25" x14ac:dyDescent="0.3">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5">
        <v>45079</v>
      </c>
      <c r="Y21" s="43" t="str">
        <f t="shared" si="0"/>
        <v>2023-06-02</v>
      </c>
    </row>
    <row r="22" spans="1:25" x14ac:dyDescent="0.3">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5">
        <v>45075</v>
      </c>
      <c r="Y22" s="43" t="str">
        <f t="shared" si="0"/>
        <v>2023-05-29</v>
      </c>
    </row>
    <row r="23" spans="1:25" x14ac:dyDescent="0.3">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5">
        <v>45110</v>
      </c>
      <c r="Y23" s="43" t="str">
        <f t="shared" si="0"/>
        <v>2023-07-03</v>
      </c>
    </row>
    <row r="24" spans="1:25" x14ac:dyDescent="0.3">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5">
        <v>45114</v>
      </c>
      <c r="Y24" s="43" t="str">
        <f t="shared" si="0"/>
        <v>2023-07-07</v>
      </c>
    </row>
    <row r="25" spans="1:25" x14ac:dyDescent="0.3">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5">
        <v>45118</v>
      </c>
      <c r="Y25" s="43" t="str">
        <f t="shared" si="0"/>
        <v>2023-07-11</v>
      </c>
    </row>
    <row r="26" spans="1:25" x14ac:dyDescent="0.3">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5">
        <v>45142</v>
      </c>
      <c r="Y26" s="43" t="str">
        <f t="shared" si="0"/>
        <v>2023-08-04</v>
      </c>
    </row>
    <row r="27" spans="1:25" x14ac:dyDescent="0.3">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5">
        <v>45146</v>
      </c>
      <c r="Y27" s="43" t="str">
        <f t="shared" si="0"/>
        <v>2023-08-08</v>
      </c>
    </row>
    <row r="28" spans="1:25" x14ac:dyDescent="0.3">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5">
        <v>45108</v>
      </c>
      <c r="Y28" s="43" t="str">
        <f t="shared" si="0"/>
        <v>2023-07-01</v>
      </c>
    </row>
    <row r="29" spans="1:25" x14ac:dyDescent="0.3">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5">
        <v>45153</v>
      </c>
      <c r="Y29" s="43" t="str">
        <f t="shared" si="0"/>
        <v>2023-08-15</v>
      </c>
    </row>
    <row r="30" spans="1:25" x14ac:dyDescent="0.3">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5">
        <v>45150</v>
      </c>
      <c r="Y30" s="43" t="str">
        <f t="shared" si="0"/>
        <v>2023-08-12</v>
      </c>
    </row>
    <row r="31" spans="1:25" x14ac:dyDescent="0.3">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5">
        <v>45157</v>
      </c>
      <c r="Y31" s="43" t="str">
        <f t="shared" si="0"/>
        <v>2023-08-19</v>
      </c>
    </row>
    <row r="32" spans="1:25" x14ac:dyDescent="0.3">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5">
        <v>45143</v>
      </c>
      <c r="Y32" s="43" t="str">
        <f t="shared" si="0"/>
        <v>2023-08-05</v>
      </c>
    </row>
    <row r="33" spans="1:25" x14ac:dyDescent="0.3">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5">
        <v>45166</v>
      </c>
      <c r="Y33" s="43" t="str">
        <f t="shared" si="0"/>
        <v>2023-08-28</v>
      </c>
    </row>
    <row r="34" spans="1:25" x14ac:dyDescent="0.3">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5">
        <v>45162</v>
      </c>
      <c r="Y34" s="43" t="str">
        <f t="shared" si="0"/>
        <v>2023-08-24</v>
      </c>
    </row>
    <row r="35" spans="1:25" x14ac:dyDescent="0.3">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5">
        <v>45160</v>
      </c>
      <c r="Y35" s="43" t="str">
        <f t="shared" si="0"/>
        <v>2023-08-22</v>
      </c>
    </row>
    <row r="36" spans="1:25" x14ac:dyDescent="0.3">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5">
        <v>45179</v>
      </c>
      <c r="Y36" s="43" t="str">
        <f t="shared" si="0"/>
        <v>2023-09-10</v>
      </c>
    </row>
    <row r="37" spans="1:25" x14ac:dyDescent="0.3">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5">
        <v>45157</v>
      </c>
      <c r="Y37" s="43" t="str">
        <f t="shared" si="0"/>
        <v>2023-08-19</v>
      </c>
    </row>
    <row r="38" spans="1:25" x14ac:dyDescent="0.3">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5">
        <v>45143</v>
      </c>
      <c r="Y38" s="43" t="str">
        <f t="shared" si="0"/>
        <v>2023-08-05</v>
      </c>
    </row>
    <row r="39" spans="1:25" x14ac:dyDescent="0.3">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5">
        <v>45166</v>
      </c>
      <c r="Y39" s="43" t="str">
        <f t="shared" si="0"/>
        <v>2023-08-28</v>
      </c>
    </row>
    <row r="40" spans="1:25" x14ac:dyDescent="0.3">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5">
        <v>45162</v>
      </c>
      <c r="Y40" s="43" t="str">
        <f t="shared" si="0"/>
        <v>2023-08-24</v>
      </c>
    </row>
    <row r="41" spans="1:25" x14ac:dyDescent="0.3">
      <c r="H41" s="1">
        <f>SUMIFS(H2:H40, H2:H40, "&gt;20")</f>
        <v>1473.0000000000002</v>
      </c>
    </row>
  </sheetData>
  <conditionalFormatting sqref="A1:A1048576">
    <cfRule type="duplicateValues" dxfId="3" priority="4"/>
  </conditionalFormatting>
  <conditionalFormatting sqref="B1:B1048576">
    <cfRule type="duplicateValues" dxfId="2" priority="3"/>
  </conditionalFormatting>
  <conditionalFormatting sqref="G1:W40">
    <cfRule type="cellIs" dxfId="1" priority="2" operator="equal">
      <formula>-1</formula>
    </cfRule>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F14"/>
  <sheetViews>
    <sheetView zoomScaleNormal="100" workbookViewId="0">
      <selection activeCell="B6" sqref="B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6" x14ac:dyDescent="0.3">
      <c r="A1" s="4" t="s">
        <v>47</v>
      </c>
      <c r="B1" s="4" t="s">
        <v>48</v>
      </c>
      <c r="C1" s="4" t="s">
        <v>44</v>
      </c>
      <c r="E1" s="4" t="s">
        <v>176</v>
      </c>
    </row>
    <row r="2" spans="1:6" x14ac:dyDescent="0.3">
      <c r="A2" s="2"/>
      <c r="B2" s="5" t="s">
        <v>160</v>
      </c>
      <c r="C2" s="2"/>
    </row>
    <row r="3" spans="1:6" x14ac:dyDescent="0.3">
      <c r="A3" s="6">
        <v>1</v>
      </c>
      <c r="B3" s="2" t="s">
        <v>107</v>
      </c>
      <c r="C3" s="2" t="s">
        <v>45</v>
      </c>
      <c r="E3" s="1">
        <v>5</v>
      </c>
      <c r="F3" s="44" t="s">
        <v>180</v>
      </c>
    </row>
    <row r="4" spans="1:6" x14ac:dyDescent="0.3">
      <c r="A4" s="6">
        <v>2</v>
      </c>
      <c r="B4" s="2" t="s">
        <v>46</v>
      </c>
      <c r="C4" s="2"/>
      <c r="E4" s="1">
        <v>5</v>
      </c>
      <c r="F4" s="44" t="s">
        <v>180</v>
      </c>
    </row>
    <row r="5" spans="1:6" x14ac:dyDescent="0.3">
      <c r="A5" s="6">
        <v>3</v>
      </c>
      <c r="B5" s="2" t="s">
        <v>104</v>
      </c>
      <c r="C5" s="32" t="s">
        <v>181</v>
      </c>
      <c r="E5" s="1">
        <v>10</v>
      </c>
      <c r="F5" s="44" t="s">
        <v>180</v>
      </c>
    </row>
    <row r="6" spans="1:6" x14ac:dyDescent="0.3">
      <c r="A6" s="6">
        <v>4</v>
      </c>
      <c r="B6" s="2" t="s">
        <v>106</v>
      </c>
      <c r="C6" s="2"/>
      <c r="E6" s="1">
        <v>5</v>
      </c>
      <c r="F6" s="44" t="s">
        <v>180</v>
      </c>
    </row>
    <row r="7" spans="1:6" x14ac:dyDescent="0.3">
      <c r="A7" s="2"/>
      <c r="B7" s="2"/>
      <c r="C7" s="2"/>
    </row>
    <row r="13" spans="1:6" x14ac:dyDescent="0.3">
      <c r="E13" s="2"/>
    </row>
    <row r="14" spans="1:6"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G8" sqref="G8"/>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55</v>
      </c>
      <c r="B1" s="39" t="s">
        <v>164</v>
      </c>
    </row>
    <row r="2" spans="1:7" s="39" customFormat="1" ht="21" x14ac:dyDescent="0.4">
      <c r="B2" s="39" t="s">
        <v>161</v>
      </c>
    </row>
    <row r="3" spans="1:7" ht="14.4" x14ac:dyDescent="0.3">
      <c r="A3" s="1"/>
      <c r="B3" s="1"/>
      <c r="C3" s="1"/>
      <c r="D3" s="1"/>
      <c r="E3" s="1"/>
      <c r="F3" s="1"/>
      <c r="G3" s="1"/>
    </row>
    <row r="4" spans="1:7" ht="23.4" x14ac:dyDescent="0.45">
      <c r="A4" s="16" t="s">
        <v>162</v>
      </c>
      <c r="B4" s="1"/>
      <c r="C4" s="1"/>
      <c r="D4" s="1"/>
      <c r="E4" s="1"/>
      <c r="F4" s="1"/>
      <c r="G4" s="1"/>
    </row>
    <row r="5" spans="1:7" ht="14.4" x14ac:dyDescent="0.3">
      <c r="A5" s="18" t="s">
        <v>64</v>
      </c>
      <c r="B5" s="19" t="s">
        <v>79</v>
      </c>
      <c r="C5" s="20" t="s">
        <v>71</v>
      </c>
      <c r="D5" s="19" t="s">
        <v>75</v>
      </c>
      <c r="E5" s="20" t="s">
        <v>76</v>
      </c>
      <c r="F5" s="21" t="s">
        <v>77</v>
      </c>
    </row>
    <row r="6" spans="1:7" ht="14.4" x14ac:dyDescent="0.3">
      <c r="A6" s="7" t="s">
        <v>40</v>
      </c>
      <c r="B6" s="11">
        <f>IFERROR(VLOOKUP(A6, Dataset!A2:G100, 7, FALSE), "")</f>
        <v>2.7</v>
      </c>
      <c r="C6" s="11">
        <f>IFERROR(VLOOKUP(A6, Dataset!A2:N100, 14, FALSE), "")</f>
        <v>7.6</v>
      </c>
      <c r="D6" s="11">
        <f>IFERROR(VLOOKUP(A6, Dataset!A2:R100, 18, FALSE), "")</f>
        <v>4.2</v>
      </c>
      <c r="E6" s="11">
        <f>IFERROR(VLOOKUP(A6, Dataset!A2:T100, 20, FALSE), "")</f>
        <v>8.9</v>
      </c>
      <c r="F6" s="8">
        <f>IFERROR(VLOOKUP(A6, Dataset!A2:V100, 22, FALSE), "")</f>
        <v>4.2</v>
      </c>
    </row>
    <row r="7" spans="1:7" ht="14.4" x14ac:dyDescent="0.3">
      <c r="A7" s="7" t="s">
        <v>4</v>
      </c>
      <c r="B7" s="11">
        <f>IFERROR(VLOOKUP(A7, Dataset!A3:G101, 7, FALSE), "")</f>
        <v>2.7</v>
      </c>
      <c r="C7" s="11">
        <f>IFERROR(VLOOKUP(A7, Dataset!A3:N101, 14, FALSE), "")</f>
        <v>7.6</v>
      </c>
      <c r="D7" s="11">
        <f>IFERROR(VLOOKUP(A7, Dataset!A3:R101, 18, FALSE), "")</f>
        <v>4.2</v>
      </c>
      <c r="E7" s="11">
        <f>IFERROR(VLOOKUP(A7, Dataset!A3:T101, 20, FALSE), "")</f>
        <v>8.9</v>
      </c>
      <c r="F7" s="8">
        <f>IFERROR(VLOOKUP(A7, Dataset!A3:V101, 22, FALSE), "")</f>
        <v>4.2</v>
      </c>
    </row>
    <row r="8" spans="1:7" ht="14.4" x14ac:dyDescent="0.3">
      <c r="A8" s="7" t="s">
        <v>7</v>
      </c>
      <c r="B8" s="11">
        <f>IFERROR(VLOOKUP(A8, Dataset!A4:G102, 7, FALSE), "")</f>
        <v>3.6</v>
      </c>
      <c r="C8" s="11">
        <f>IFERROR(VLOOKUP(A8, Dataset!A4:N102, 14, FALSE), "")</f>
        <v>11.1</v>
      </c>
      <c r="D8" s="11">
        <f>IFERROR(VLOOKUP(A8, Dataset!A4:R102, 18, FALSE), "")</f>
        <v>5.8</v>
      </c>
      <c r="E8" s="11">
        <f>IFERROR(VLOOKUP(A8, Dataset!A4:T102, 20, FALSE), "")</f>
        <v>12.2</v>
      </c>
      <c r="F8" s="8">
        <f>IFERROR(VLOOKUP(A8, Dataset!A4:V102, 22, FALSE), "")</f>
        <v>5.8</v>
      </c>
    </row>
    <row r="9" spans="1:7" ht="14.4" x14ac:dyDescent="0.3">
      <c r="A9" s="7" t="s">
        <v>8</v>
      </c>
      <c r="B9" s="11">
        <f>IFERROR(VLOOKUP(A9, Dataset!A5:G103, 7, FALSE), "")</f>
        <v>4.9000000000000004</v>
      </c>
      <c r="C9" s="11">
        <f>IFERROR(VLOOKUP(A9, Dataset!A5:N103, 14, FALSE), "")</f>
        <v>13.3</v>
      </c>
      <c r="D9" s="11">
        <f>IFERROR(VLOOKUP(A9, Dataset!A5:R103, 18, FALSE), "")</f>
        <v>8.1</v>
      </c>
      <c r="E9" s="11">
        <f>IFERROR(VLOOKUP(A9, Dataset!A5:T103, 20, FALSE), "")</f>
        <v>17</v>
      </c>
      <c r="F9" s="8">
        <f>IFERROR(VLOOKUP(A9, Dataset!A5:V103, 22, FALSE), "")</f>
        <v>8.1</v>
      </c>
    </row>
    <row r="10" spans="1:7" ht="14.4" x14ac:dyDescent="0.3">
      <c r="A10" s="7" t="s">
        <v>11</v>
      </c>
      <c r="B10" s="11">
        <f>IFERROR(VLOOKUP(A10, Dataset!A6:G104, 7, FALSE), "")</f>
        <v>9.4</v>
      </c>
      <c r="C10" s="11">
        <f>IFERROR(VLOOKUP(A10, Dataset!A6:N104, 14, FALSE), "")</f>
        <v>28.3</v>
      </c>
      <c r="D10" s="11">
        <f>IFERROR(VLOOKUP(A10, Dataset!A6:R104, 18, FALSE), "")</f>
        <v>16.100000000000001</v>
      </c>
      <c r="E10" s="11">
        <f>IFERROR(VLOOKUP(A10, Dataset!A6:T104, 20, FALSE), "")</f>
        <v>32.799999999999997</v>
      </c>
      <c r="F10" s="8">
        <f>IFERROR(VLOOKUP(A10, Dataset!A6:V104, 22, FALSE), "")</f>
        <v>16.100000000000001</v>
      </c>
    </row>
    <row r="11" spans="1:7" ht="14.4" x14ac:dyDescent="0.3">
      <c r="A11" s="7" t="s">
        <v>12</v>
      </c>
      <c r="B11" s="11">
        <f>IFERROR(VLOOKUP(A11, Dataset!A7:G105, 7, FALSE), "")</f>
        <v>11.6</v>
      </c>
      <c r="C11" s="11">
        <f>IFERROR(VLOOKUP(A11, Dataset!A7:N105, 14, FALSE), "")</f>
        <v>35.200000000000003</v>
      </c>
      <c r="D11" s="11">
        <f>IFERROR(VLOOKUP(A11, Dataset!A7:R105, 18, FALSE), "")</f>
        <v>21.3</v>
      </c>
      <c r="E11" s="11">
        <f>IFERROR(VLOOKUP(A11, Dataset!A7:T105, 20, FALSE), "")</f>
        <v>43</v>
      </c>
      <c r="F11" s="8">
        <f>IFERROR(VLOOKUP(A11, Dataset!A7:V105, 22, FALSE), "")</f>
        <v>21.3</v>
      </c>
    </row>
    <row r="12" spans="1:7" ht="14.4" x14ac:dyDescent="0.3">
      <c r="A12" s="7" t="s">
        <v>14</v>
      </c>
      <c r="B12" s="11">
        <f>IFERROR(VLOOKUP(A12, Dataset!A8:G106, 7, FALSE), "")</f>
        <v>18.399999999999999</v>
      </c>
      <c r="C12" s="11">
        <f>IFERROR(VLOOKUP(A12, Dataset!A8:N106, 14, FALSE), "")</f>
        <v>55.6</v>
      </c>
      <c r="D12" s="11">
        <f>IFERROR(VLOOKUP(A12, Dataset!A8:R106, 18, FALSE), "")</f>
        <v>33.799999999999997</v>
      </c>
      <c r="E12" s="11">
        <f>IFERROR(VLOOKUP(A12, Dataset!A8:T106, 20, FALSE), "")</f>
        <v>67.900000000000006</v>
      </c>
      <c r="F12" s="8">
        <f>IFERROR(VLOOKUP(A12, Dataset!A8:V106, 22, FALSE), "")</f>
        <v>33.799999999999997</v>
      </c>
    </row>
    <row r="13" spans="1:7" ht="14.4" x14ac:dyDescent="0.3">
      <c r="A13" s="7" t="s">
        <v>15</v>
      </c>
      <c r="B13" s="11">
        <f>IFERROR(VLOOKUP(A13, Dataset!A9:G107, 7, FALSE), "")</f>
        <v>0</v>
      </c>
      <c r="C13" s="11">
        <f>IFERROR(VLOOKUP(A13, Dataset!A9:N107, 14, FALSE), "")</f>
        <v>0</v>
      </c>
      <c r="D13" s="11">
        <f>IFERROR(VLOOKUP(A13, Dataset!A9:R107, 18, FALSE), "")</f>
        <v>0</v>
      </c>
      <c r="E13" s="11">
        <f>IFERROR(VLOOKUP(A13, Dataset!A9:T107, 20, FALSE), "")</f>
        <v>0</v>
      </c>
      <c r="F13" s="8">
        <f>IFERROR(VLOOKUP(A13, Dataset!A9:V107, 22, FALSE), "")</f>
        <v>0</v>
      </c>
    </row>
    <row r="14" spans="1:7" ht="14.4" x14ac:dyDescent="0.3">
      <c r="A14" s="7" t="s">
        <v>16</v>
      </c>
      <c r="B14" s="11">
        <f>IFERROR(VLOOKUP(A14, Dataset!A10:G108, 7, FALSE), "")</f>
        <v>21.9</v>
      </c>
      <c r="C14" s="11">
        <f>IFERROR(VLOOKUP(A14, Dataset!A10:N108, 14, FALSE), "")</f>
        <v>61.5</v>
      </c>
      <c r="D14" s="11">
        <f>IFERROR(VLOOKUP(A14, Dataset!A10:R108, 18, FALSE), "")</f>
        <v>40.1</v>
      </c>
      <c r="E14" s="11">
        <f>IFERROR(VLOOKUP(A14, Dataset!A10:T108, 20, FALSE), "")</f>
        <v>76.599999999999994</v>
      </c>
      <c r="F14" s="8">
        <f>IFERROR(VLOOKUP(A14, Dataset!A10:V108, 22, FALSE), "")</f>
        <v>40.1</v>
      </c>
    </row>
    <row r="15" spans="1:7" ht="14.4" x14ac:dyDescent="0.3">
      <c r="A15" s="7" t="s">
        <v>18</v>
      </c>
      <c r="B15" s="11">
        <f>IFERROR(VLOOKUP(A15, Dataset!A11:G109, 7, FALSE), "")</f>
        <v>26.8</v>
      </c>
      <c r="C15" s="11">
        <f>IFERROR(VLOOKUP(A15, Dataset!A11:N109, 14, FALSE), "")</f>
        <v>79.599999999999994</v>
      </c>
      <c r="D15" s="11">
        <f>IFERROR(VLOOKUP(A15, Dataset!A11:R109, 18, FALSE), "")</f>
        <v>47.9</v>
      </c>
      <c r="E15" s="11">
        <f>IFERROR(VLOOKUP(A15, Dataset!A11:T109, 20, FALSE), "")</f>
        <v>96.8</v>
      </c>
      <c r="F15" s="8">
        <f>IFERROR(VLOOKUP(A15, Dataset!A11:V109, 22, FALSE), "")</f>
        <v>47.9</v>
      </c>
    </row>
    <row r="16" spans="1:7" ht="14.4" x14ac:dyDescent="0.3">
      <c r="A16" s="7" t="s">
        <v>20</v>
      </c>
      <c r="B16" s="11">
        <f>IFERROR(VLOOKUP(A16, Dataset!A12:G110, 7, FALSE), "")</f>
        <v>28.5</v>
      </c>
      <c r="C16" s="11">
        <f>IFERROR(VLOOKUP(A16, Dataset!A12:N110, 14, FALSE), "")</f>
        <v>85.4</v>
      </c>
      <c r="D16" s="11">
        <f>IFERROR(VLOOKUP(A16, Dataset!A12:R110, 18, FALSE), "")</f>
        <v>52.3</v>
      </c>
      <c r="E16" s="11">
        <f>IFERROR(VLOOKUP(A16, Dataset!A12:T110, 20, FALSE), "")</f>
        <v>106.1</v>
      </c>
      <c r="F16" s="8">
        <f>IFERROR(VLOOKUP(A16, Dataset!A12:V110, 22, FALSE), "")</f>
        <v>52.3</v>
      </c>
    </row>
    <row r="17" spans="1:6" ht="14.4" x14ac:dyDescent="0.3">
      <c r="A17" s="7" t="s">
        <v>22</v>
      </c>
      <c r="B17" s="11">
        <f>IFERROR(VLOOKUP(A17, Dataset!A13:G111, 7, FALSE), "")</f>
        <v>30.7</v>
      </c>
      <c r="C17" s="11">
        <f>IFERROR(VLOOKUP(A17, Dataset!A13:N111, 14, FALSE), "")</f>
        <v>92.1</v>
      </c>
      <c r="D17" s="11">
        <f>IFERROR(VLOOKUP(A17, Dataset!A13:R111, 18, FALSE), "")</f>
        <v>57</v>
      </c>
      <c r="E17" s="11">
        <f>IFERROR(VLOOKUP(A17, Dataset!A13:T111, 20, FALSE), "")</f>
        <v>115.1</v>
      </c>
      <c r="F17" s="8">
        <f>IFERROR(VLOOKUP(A17, Dataset!A13:V111, 22, FALSE), "")</f>
        <v>57</v>
      </c>
    </row>
    <row r="18" spans="1:6" ht="14.4" x14ac:dyDescent="0.3">
      <c r="A18" s="7" t="s">
        <v>23</v>
      </c>
      <c r="B18" s="11">
        <f>IFERROR(VLOOKUP(A18, Dataset!A14:G112, 7, FALSE), "")</f>
        <v>33.799999999999997</v>
      </c>
      <c r="C18" s="11">
        <f>IFERROR(VLOOKUP(A18, Dataset!A14:N112, 14, FALSE), "")</f>
        <v>101.3</v>
      </c>
      <c r="D18" s="11">
        <f>IFERROR(VLOOKUP(A18, Dataset!A14:R112, 18, FALSE), "")</f>
        <v>61.4</v>
      </c>
      <c r="E18" s="11">
        <f>IFERROR(VLOOKUP(A18, Dataset!A14:T112, 20, FALSE), "")</f>
        <v>124.4</v>
      </c>
      <c r="F18" s="8">
        <f>IFERROR(VLOOKUP(A18, Dataset!A14:V112, 22, FALSE), "")</f>
        <v>61.4</v>
      </c>
    </row>
    <row r="19" spans="1:6" ht="14.4" x14ac:dyDescent="0.3">
      <c r="A19" s="7" t="s">
        <v>24</v>
      </c>
      <c r="B19" s="11">
        <f>IFERROR(VLOOKUP(A19, Dataset!A15:G113, 7, FALSE), "")</f>
        <v>34.700000000000003</v>
      </c>
      <c r="C19" s="11">
        <f>IFERROR(VLOOKUP(A19, Dataset!A15:N113, 14, FALSE), "")</f>
        <v>106.1</v>
      </c>
      <c r="D19" s="11">
        <f>IFERROR(VLOOKUP(A19, Dataset!A15:R113, 18, FALSE), "")</f>
        <v>63.6</v>
      </c>
      <c r="E19" s="11">
        <f>IFERROR(VLOOKUP(A19, Dataset!A15:T113, 20, FALSE), "")</f>
        <v>128.6</v>
      </c>
      <c r="F19" s="8">
        <f>IFERROR(VLOOKUP(A19, Dataset!A15:V113, 22, FALSE), "")</f>
        <v>63.6</v>
      </c>
    </row>
    <row r="20" spans="1:6" ht="14.4" x14ac:dyDescent="0.3">
      <c r="A20" s="7" t="s">
        <v>28</v>
      </c>
      <c r="B20" s="11">
        <f>IFERROR(VLOOKUP(A20, Dataset!A16:G114, 7, FALSE), "")</f>
        <v>0</v>
      </c>
      <c r="C20" s="11">
        <f>IFERROR(VLOOKUP(A20, Dataset!A16:N114, 14, FALSE), "")</f>
        <v>0</v>
      </c>
      <c r="D20" s="11">
        <f>IFERROR(VLOOKUP(A20, Dataset!A16:R114, 18, FALSE), "")</f>
        <v>0</v>
      </c>
      <c r="E20" s="11">
        <f>IFERROR(VLOOKUP(A20, Dataset!A16:T114, 20, FALSE), "")</f>
        <v>0</v>
      </c>
      <c r="F20" s="8">
        <f>IFERROR(VLOOKUP(A20, Dataset!A16:V114, 22, FALSE), "")</f>
        <v>0</v>
      </c>
    </row>
    <row r="21" spans="1:6" ht="14.4" x14ac:dyDescent="0.3">
      <c r="A21" s="7" t="s">
        <v>57</v>
      </c>
      <c r="B21" s="11">
        <f>IFERROR(VLOOKUP(A21, Dataset!A17:G115, 7, FALSE), "")</f>
        <v>41.3</v>
      </c>
      <c r="C21" s="11">
        <f>IFERROR(VLOOKUP(A21, Dataset!A17:N115, 14, FALSE), "")</f>
        <v>124.4</v>
      </c>
      <c r="D21" s="11">
        <f>IFERROR(VLOOKUP(A21, Dataset!A17:R115, 18, FALSE), "")</f>
        <v>75</v>
      </c>
      <c r="E21" s="11">
        <f>IFERROR(VLOOKUP(A21, Dataset!A17:T115, 20, FALSE), "")</f>
        <v>151.5</v>
      </c>
      <c r="F21" s="8">
        <f>IFERROR(VLOOKUP(A21, Dataset!A17:V115, 22, FALSE), "")</f>
        <v>75</v>
      </c>
    </row>
    <row r="22" spans="1:6" ht="14.4" x14ac:dyDescent="0.3">
      <c r="A22" s="7" t="s">
        <v>58</v>
      </c>
      <c r="B22" s="11">
        <f>IFERROR(VLOOKUP(A22, Dataset!A18:G116, 7, FALSE), "")</f>
        <v>-1</v>
      </c>
      <c r="C22" s="11">
        <f>IFERROR(VLOOKUP(A22, Dataset!A18:N116, 14, FALSE), "")</f>
        <v>-1</v>
      </c>
      <c r="D22" s="11">
        <f>IFERROR(VLOOKUP(A22, Dataset!A18:R116, 18, FALSE), "")</f>
        <v>-1</v>
      </c>
      <c r="E22" s="11">
        <f>IFERROR(VLOOKUP(A22, Dataset!A18:T116, 20, FALSE), "")</f>
        <v>-1</v>
      </c>
      <c r="F22" s="8">
        <f>IFERROR(VLOOKUP(A22, Dataset!A18:V116, 22, FALSE), "")</f>
        <v>-1</v>
      </c>
    </row>
    <row r="23" spans="1:6" ht="14.4" x14ac:dyDescent="0.3">
      <c r="A23" s="7" t="s">
        <v>31</v>
      </c>
      <c r="B23" s="11">
        <f>IFERROR(VLOOKUP(A23, Dataset!A19:G117, 7, FALSE), "")</f>
        <v>45</v>
      </c>
      <c r="C23" s="11">
        <f>IFERROR(VLOOKUP(A23, Dataset!A19:N117, 14, FALSE), "")</f>
        <v>133.4</v>
      </c>
      <c r="D23" s="11">
        <f>IFERROR(VLOOKUP(A23, Dataset!A19:R117, 18, FALSE), "")</f>
        <v>79.400000000000006</v>
      </c>
      <c r="E23" s="11">
        <f>IFERROR(VLOOKUP(A23, Dataset!A19:T117, 20, FALSE), "")</f>
        <v>160.9</v>
      </c>
      <c r="F23" s="8">
        <f>IFERROR(VLOOKUP(A23, Dataset!A19:V117, 22, FALSE), "")</f>
        <v>79.400000000000006</v>
      </c>
    </row>
    <row r="24" spans="1:6" ht="14.4" x14ac:dyDescent="0.3">
      <c r="A24" s="7" t="s">
        <v>32</v>
      </c>
      <c r="B24" s="11">
        <f>IFERROR(VLOOKUP(A24, Dataset!A20:G118, 7, FALSE), "")</f>
        <v>-1</v>
      </c>
      <c r="C24" s="11">
        <f>IFERROR(VLOOKUP(A24, Dataset!A20:N118, 14, FALSE), "")</f>
        <v>-1</v>
      </c>
      <c r="D24" s="11">
        <f>IFERROR(VLOOKUP(A24, Dataset!A20:R118, 18, FALSE), "")</f>
        <v>-1</v>
      </c>
      <c r="E24" s="11">
        <f>IFERROR(VLOOKUP(A24, Dataset!A20:T118, 20, FALSE), "")</f>
        <v>-1</v>
      </c>
      <c r="F24" s="8">
        <f>IFERROR(VLOOKUP(A24, Dataset!A20:V118, 22, FALSE), "")</f>
        <v>-1</v>
      </c>
    </row>
    <row r="25" spans="1:6" ht="14.4" x14ac:dyDescent="0.3">
      <c r="A25" s="7" t="s">
        <v>34</v>
      </c>
      <c r="B25" s="11">
        <f>IFERROR(VLOOKUP(A25, Dataset!A21:G119, 7, FALSE), "")</f>
        <v>43.3</v>
      </c>
      <c r="C25" s="11">
        <f>IFERROR(VLOOKUP(A25, Dataset!A21:N119, 14, FALSE), "")</f>
        <v>128.6</v>
      </c>
      <c r="D25" s="11">
        <f>IFERROR(VLOOKUP(A25, Dataset!A21:R119, 18, FALSE), "")</f>
        <v>79.400000000000006</v>
      </c>
      <c r="E25" s="11">
        <f>IFERROR(VLOOKUP(A25, Dataset!A21:T119, 20, FALSE), "")</f>
        <v>160.9</v>
      </c>
      <c r="F25" s="8">
        <f>IFERROR(VLOOKUP(A25, Dataset!A21:V119, 22, FALSE), "")</f>
        <v>79.400000000000006</v>
      </c>
    </row>
    <row r="26" spans="1:6" ht="14.4" x14ac:dyDescent="0.3">
      <c r="A26" s="7" t="s">
        <v>37</v>
      </c>
      <c r="B26" s="11">
        <f>IFERROR(VLOOKUP(A26, Dataset!A22:G120, 7, FALSE), "")</f>
        <v>49.1</v>
      </c>
      <c r="C26" s="11">
        <f>IFERROR(VLOOKUP(A26, Dataset!A22:N120, 14, FALSE), "")</f>
        <v>146.80000000000001</v>
      </c>
      <c r="D26" s="11">
        <f>IFERROR(VLOOKUP(A26, Dataset!A22:R120, 18, FALSE), "")</f>
        <v>90.9</v>
      </c>
      <c r="E26" s="11">
        <f>IFERROR(VLOOKUP(A26, Dataset!A22:T120, 20, FALSE), "")</f>
        <v>183.5</v>
      </c>
      <c r="F26" s="8">
        <f>IFERROR(VLOOKUP(A26, Dataset!A22:V120, 22, FALSE), "")</f>
        <v>90.9</v>
      </c>
    </row>
    <row r="27" spans="1:6" ht="14.4" x14ac:dyDescent="0.3">
      <c r="A27" s="7" t="s">
        <v>39</v>
      </c>
      <c r="B27" s="11">
        <f>IFERROR(VLOOKUP(A27, Dataset!A23:G121, 7, FALSE), "")</f>
        <v>51.8</v>
      </c>
      <c r="C27" s="11">
        <f>IFERROR(VLOOKUP(A27, Dataset!A23:N121, 14, FALSE), "")</f>
        <v>156.4</v>
      </c>
      <c r="D27" s="11">
        <f>IFERROR(VLOOKUP(A27, Dataset!A23:R121, 18, FALSE), "")</f>
        <v>93.1</v>
      </c>
      <c r="E27" s="11">
        <f>IFERROR(VLOOKUP(A27, Dataset!A23:T121, 20, FALSE), "")</f>
        <v>188.1</v>
      </c>
      <c r="F27" s="8">
        <f>IFERROR(VLOOKUP(A27, Dataset!A23:V121, 22, FALSE), "")</f>
        <v>93.1</v>
      </c>
    </row>
    <row r="28" spans="1:6" ht="14.4" x14ac:dyDescent="0.3">
      <c r="A28" s="17" t="s">
        <v>82</v>
      </c>
      <c r="B28" s="15">
        <f>MIN(B6:B27)</f>
        <v>-1</v>
      </c>
      <c r="C28" s="15">
        <f>MIN(C6:C27)</f>
        <v>-1</v>
      </c>
      <c r="D28" s="15">
        <f>MIN(D6:D27)</f>
        <v>-1</v>
      </c>
      <c r="E28" s="15">
        <f>MIN(E6:E27)</f>
        <v>-1</v>
      </c>
      <c r="F28" s="15">
        <f>MIN(F6:F27)</f>
        <v>-1</v>
      </c>
    </row>
    <row r="29" spans="1:6" ht="14.4" x14ac:dyDescent="0.3">
      <c r="A29" s="17" t="s">
        <v>83</v>
      </c>
      <c r="B29" s="15">
        <f>MAX(B6:B27)</f>
        <v>51.8</v>
      </c>
      <c r="C29" s="15">
        <f>MAX(C6:C27)</f>
        <v>156.4</v>
      </c>
      <c r="D29" s="15">
        <f>MAX(D6:D27)</f>
        <v>93.1</v>
      </c>
      <c r="E29" s="15">
        <f>MAX(E6:E27)</f>
        <v>188.1</v>
      </c>
      <c r="F29" s="15">
        <f>MAX(F6:F27)</f>
        <v>93.1</v>
      </c>
    </row>
    <row r="30" spans="1:6" ht="14.4" x14ac:dyDescent="0.3">
      <c r="A30" s="17" t="s">
        <v>84</v>
      </c>
      <c r="B30" s="15">
        <f>AVERAGE(B6:B27)</f>
        <v>20.827272727272728</v>
      </c>
      <c r="C30" s="15">
        <f>AVERAGE(C6:C27)</f>
        <v>62.377272727272725</v>
      </c>
      <c r="D30" s="15">
        <f>AVERAGE(D6:D27)</f>
        <v>37.800000000000004</v>
      </c>
      <c r="E30" s="15">
        <f>AVERAGE(E6:E27)</f>
        <v>76.418181818181822</v>
      </c>
      <c r="F30" s="15">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7" sqref="B7"/>
    </sheetView>
  </sheetViews>
  <sheetFormatPr defaultColWidth="11" defaultRowHeight="14.4" x14ac:dyDescent="0.3"/>
  <cols>
    <col min="1" max="1" width="39.77734375" style="1" bestFit="1" customWidth="1"/>
    <col min="2" max="16384" width="11" style="1"/>
  </cols>
  <sheetData>
    <row r="1" spans="1:10" s="39" customFormat="1" ht="21" x14ac:dyDescent="0.4">
      <c r="A1" s="40" t="s">
        <v>56</v>
      </c>
      <c r="B1" s="39" t="s">
        <v>174</v>
      </c>
    </row>
    <row r="2" spans="1:10" customFormat="1" ht="13.2" x14ac:dyDescent="0.25"/>
    <row r="3" spans="1:10" s="2" customFormat="1" x14ac:dyDescent="0.3">
      <c r="B3" s="1"/>
    </row>
    <row r="4" spans="1:10" s="2" customFormat="1" x14ac:dyDescent="0.3">
      <c r="B4" s="1" t="s">
        <v>151</v>
      </c>
    </row>
    <row r="5" spans="1:10" ht="18" x14ac:dyDescent="0.35">
      <c r="A5" s="41" t="s">
        <v>53</v>
      </c>
      <c r="B5" s="38" t="s">
        <v>183</v>
      </c>
    </row>
    <row r="6" spans="1:10" ht="18" x14ac:dyDescent="0.35">
      <c r="A6" s="41" t="s">
        <v>153</v>
      </c>
      <c r="B6" s="38" t="s">
        <v>184</v>
      </c>
    </row>
    <row r="7" spans="1:10" ht="18" x14ac:dyDescent="0.35">
      <c r="A7" s="41"/>
      <c r="B7" s="38"/>
    </row>
    <row r="9" spans="1:10" ht="23.4" x14ac:dyDescent="0.45">
      <c r="A9" s="16" t="s">
        <v>165</v>
      </c>
      <c r="I9" s="2"/>
      <c r="J9" s="2"/>
    </row>
    <row r="10" spans="1:10" x14ac:dyDescent="0.3">
      <c r="A10" s="31" t="s">
        <v>102</v>
      </c>
      <c r="B10" s="15" t="s">
        <v>49</v>
      </c>
      <c r="C10" s="15" t="s">
        <v>50</v>
      </c>
      <c r="D10" s="15" t="s">
        <v>51</v>
      </c>
      <c r="E10" s="15" t="s">
        <v>52</v>
      </c>
      <c r="F10" s="15" t="s">
        <v>54</v>
      </c>
      <c r="I10" s="2"/>
      <c r="J10" s="2"/>
    </row>
    <row r="11" spans="1:10" x14ac:dyDescent="0.3">
      <c r="A11" s="9" t="s">
        <v>121</v>
      </c>
      <c r="B11" s="12">
        <v>20000</v>
      </c>
      <c r="C11" s="12" t="s">
        <v>5</v>
      </c>
      <c r="D11" s="12">
        <v>0</v>
      </c>
      <c r="E11" s="10" t="s">
        <v>6</v>
      </c>
      <c r="F11" s="10">
        <v>24</v>
      </c>
      <c r="I11" s="2"/>
      <c r="J11" s="2"/>
    </row>
    <row r="14" spans="1:10" ht="23.4" x14ac:dyDescent="0.45">
      <c r="A14" s="16" t="s">
        <v>162</v>
      </c>
    </row>
    <row r="15" spans="1:10" x14ac:dyDescent="0.3">
      <c r="A15" s="15" t="s">
        <v>103</v>
      </c>
      <c r="B15" s="15" t="s">
        <v>49</v>
      </c>
      <c r="C15" s="15" t="s">
        <v>50</v>
      </c>
      <c r="D15" s="15" t="s">
        <v>51</v>
      </c>
      <c r="E15" s="15" t="s">
        <v>52</v>
      </c>
      <c r="F15" s="15" t="s">
        <v>54</v>
      </c>
    </row>
    <row r="16" spans="1:10" x14ac:dyDescent="0.3">
      <c r="A16" s="15" t="s">
        <v>121</v>
      </c>
      <c r="B16" s="15">
        <v>20000</v>
      </c>
      <c r="C16" s="15" t="s">
        <v>5</v>
      </c>
      <c r="D16" s="15">
        <v>0</v>
      </c>
      <c r="E16" s="15" t="s">
        <v>6</v>
      </c>
      <c r="F16" s="15">
        <v>24</v>
      </c>
    </row>
    <row r="17" spans="1:6" x14ac:dyDescent="0.3">
      <c r="A17" s="15" t="s">
        <v>122</v>
      </c>
      <c r="B17" s="15">
        <v>20002</v>
      </c>
      <c r="C17" s="15" t="s">
        <v>5</v>
      </c>
      <c r="D17" s="15">
        <v>0</v>
      </c>
      <c r="E17" s="15" t="s">
        <v>6</v>
      </c>
      <c r="F17" s="15">
        <v>24</v>
      </c>
    </row>
    <row r="18" spans="1:6" x14ac:dyDescent="0.3">
      <c r="A18" s="15" t="s">
        <v>123</v>
      </c>
      <c r="B18" s="15">
        <v>20004</v>
      </c>
      <c r="C18" s="15" t="s">
        <v>5</v>
      </c>
      <c r="D18" s="15">
        <v>0</v>
      </c>
      <c r="E18" s="15" t="s">
        <v>6</v>
      </c>
      <c r="F18" s="15">
        <v>24</v>
      </c>
    </row>
    <row r="19" spans="1:6" x14ac:dyDescent="0.3">
      <c r="A19" s="15" t="s">
        <v>124</v>
      </c>
      <c r="B19" s="15">
        <v>20006</v>
      </c>
      <c r="C19" s="15" t="s">
        <v>5</v>
      </c>
      <c r="D19" s="15">
        <v>0</v>
      </c>
      <c r="E19" s="15" t="s">
        <v>6</v>
      </c>
      <c r="F19" s="15">
        <v>24</v>
      </c>
    </row>
    <row r="20" spans="1:6" x14ac:dyDescent="0.3">
      <c r="A20" s="15" t="s">
        <v>125</v>
      </c>
      <c r="B20" s="15">
        <v>20008</v>
      </c>
      <c r="C20" s="15" t="s">
        <v>5</v>
      </c>
      <c r="D20" s="15">
        <v>0</v>
      </c>
      <c r="E20" s="15" t="s">
        <v>6</v>
      </c>
      <c r="F20" s="15">
        <v>24</v>
      </c>
    </row>
    <row r="21" spans="1:6" x14ac:dyDescent="0.3">
      <c r="A21" s="15" t="s">
        <v>126</v>
      </c>
      <c r="B21" s="15">
        <v>20010</v>
      </c>
      <c r="C21" s="15" t="s">
        <v>5</v>
      </c>
      <c r="D21" s="15">
        <v>0</v>
      </c>
      <c r="E21" s="15" t="s">
        <v>6</v>
      </c>
      <c r="F21" s="15">
        <v>24</v>
      </c>
    </row>
    <row r="22" spans="1:6" x14ac:dyDescent="0.3">
      <c r="A22" s="15" t="s">
        <v>127</v>
      </c>
      <c r="B22" s="15">
        <v>20012</v>
      </c>
      <c r="C22" s="15" t="s">
        <v>5</v>
      </c>
      <c r="D22" s="15">
        <v>0</v>
      </c>
      <c r="E22" s="15" t="s">
        <v>6</v>
      </c>
      <c r="F22" s="15">
        <v>24</v>
      </c>
    </row>
    <row r="23" spans="1:6" x14ac:dyDescent="0.3">
      <c r="A23" s="15" t="s">
        <v>128</v>
      </c>
      <c r="B23" s="15">
        <v>20014</v>
      </c>
      <c r="C23" s="15" t="s">
        <v>5</v>
      </c>
      <c r="D23" s="15">
        <v>0</v>
      </c>
      <c r="E23" s="15" t="s">
        <v>6</v>
      </c>
      <c r="F23" s="15">
        <v>24</v>
      </c>
    </row>
    <row r="24" spans="1:6" x14ac:dyDescent="0.3">
      <c r="A24" s="15" t="s">
        <v>129</v>
      </c>
      <c r="B24" s="15">
        <v>20016</v>
      </c>
      <c r="C24" s="15" t="s">
        <v>5</v>
      </c>
      <c r="D24" s="15">
        <v>0</v>
      </c>
      <c r="E24" s="15" t="s">
        <v>6</v>
      </c>
      <c r="F24" s="15">
        <v>24</v>
      </c>
    </row>
    <row r="25" spans="1:6" x14ac:dyDescent="0.3">
      <c r="A25" s="15" t="s">
        <v>130</v>
      </c>
      <c r="B25" s="15">
        <v>20018</v>
      </c>
      <c r="C25" s="15" t="s">
        <v>5</v>
      </c>
      <c r="D25" s="15">
        <v>0</v>
      </c>
      <c r="E25" s="15" t="s">
        <v>6</v>
      </c>
      <c r="F25" s="15">
        <v>24</v>
      </c>
    </row>
    <row r="26" spans="1:6" x14ac:dyDescent="0.3">
      <c r="A26" s="15" t="s">
        <v>131</v>
      </c>
      <c r="B26" s="15">
        <v>20020</v>
      </c>
      <c r="C26" s="15" t="s">
        <v>5</v>
      </c>
      <c r="D26" s="15">
        <v>0</v>
      </c>
      <c r="E26" s="15" t="s">
        <v>6</v>
      </c>
      <c r="F26" s="15">
        <v>24</v>
      </c>
    </row>
    <row r="27" spans="1:6" x14ac:dyDescent="0.3">
      <c r="A27" s="15" t="s">
        <v>132</v>
      </c>
      <c r="B27" s="15">
        <v>20022</v>
      </c>
      <c r="C27" s="15" t="s">
        <v>5</v>
      </c>
      <c r="D27" s="15">
        <v>0</v>
      </c>
      <c r="E27" s="15" t="s">
        <v>6</v>
      </c>
      <c r="F27" s="15">
        <v>24</v>
      </c>
    </row>
    <row r="28" spans="1:6" x14ac:dyDescent="0.3">
      <c r="A28" s="15" t="s">
        <v>133</v>
      </c>
      <c r="B28" s="15">
        <v>20024</v>
      </c>
      <c r="C28" s="15" t="s">
        <v>5</v>
      </c>
      <c r="D28" s="15">
        <v>0</v>
      </c>
      <c r="E28" s="15" t="s">
        <v>6</v>
      </c>
      <c r="F28" s="15">
        <v>24</v>
      </c>
    </row>
    <row r="29" spans="1:6" x14ac:dyDescent="0.3">
      <c r="A29" s="15" t="s">
        <v>134</v>
      </c>
      <c r="B29" s="15">
        <v>20026</v>
      </c>
      <c r="C29" s="15" t="s">
        <v>5</v>
      </c>
      <c r="D29" s="15">
        <v>0</v>
      </c>
      <c r="E29" s="15" t="s">
        <v>6</v>
      </c>
      <c r="F29" s="15">
        <v>24</v>
      </c>
    </row>
    <row r="30" spans="1:6" x14ac:dyDescent="0.3">
      <c r="A30" s="15" t="s">
        <v>135</v>
      </c>
      <c r="B30" s="15">
        <v>20028</v>
      </c>
      <c r="C30" s="15" t="s">
        <v>5</v>
      </c>
      <c r="D30" s="15">
        <v>0</v>
      </c>
      <c r="E30" s="15" t="s">
        <v>6</v>
      </c>
      <c r="F30" s="15">
        <v>24</v>
      </c>
    </row>
    <row r="31" spans="1:6" x14ac:dyDescent="0.3">
      <c r="A31" s="15" t="s">
        <v>136</v>
      </c>
      <c r="B31" s="15">
        <v>20030</v>
      </c>
      <c r="C31" s="15" t="s">
        <v>5</v>
      </c>
      <c r="D31" s="15">
        <v>0</v>
      </c>
      <c r="E31" s="15" t="s">
        <v>6</v>
      </c>
      <c r="F31" s="15">
        <v>24</v>
      </c>
    </row>
    <row r="32" spans="1:6" x14ac:dyDescent="0.3">
      <c r="A32" s="15" t="s">
        <v>137</v>
      </c>
      <c r="B32" s="15">
        <v>20032</v>
      </c>
      <c r="C32" s="15" t="s">
        <v>5</v>
      </c>
      <c r="D32" s="15">
        <v>0</v>
      </c>
      <c r="E32" s="15" t="s">
        <v>6</v>
      </c>
      <c r="F32" s="15">
        <v>24</v>
      </c>
    </row>
    <row r="33" spans="1:6" x14ac:dyDescent="0.3">
      <c r="A33" s="15" t="s">
        <v>138</v>
      </c>
      <c r="B33" s="15">
        <v>20034</v>
      </c>
      <c r="C33" s="15" t="s">
        <v>5</v>
      </c>
      <c r="D33" s="15">
        <v>0</v>
      </c>
      <c r="E33" s="15" t="s">
        <v>6</v>
      </c>
      <c r="F33" s="15">
        <v>24</v>
      </c>
    </row>
    <row r="34" spans="1:6" x14ac:dyDescent="0.3">
      <c r="A34" s="15" t="s">
        <v>139</v>
      </c>
      <c r="B34" s="15">
        <v>20036</v>
      </c>
      <c r="C34" s="15" t="s">
        <v>5</v>
      </c>
      <c r="D34" s="15">
        <v>0</v>
      </c>
      <c r="E34" s="15" t="s">
        <v>6</v>
      </c>
      <c r="F34" s="15">
        <v>24</v>
      </c>
    </row>
    <row r="35" spans="1:6" x14ac:dyDescent="0.3">
      <c r="A35" s="15" t="s">
        <v>140</v>
      </c>
      <c r="B35" s="15">
        <v>20038</v>
      </c>
      <c r="C35" s="15" t="s">
        <v>5</v>
      </c>
      <c r="D35" s="15">
        <v>0</v>
      </c>
      <c r="E35" s="15" t="s">
        <v>6</v>
      </c>
      <c r="F35" s="15">
        <v>24</v>
      </c>
    </row>
    <row r="36" spans="1:6" x14ac:dyDescent="0.3">
      <c r="A36" s="15" t="s">
        <v>141</v>
      </c>
      <c r="B36" s="15">
        <v>20040</v>
      </c>
      <c r="C36" s="15" t="s">
        <v>5</v>
      </c>
      <c r="D36" s="15">
        <v>0</v>
      </c>
      <c r="E36" s="15" t="s">
        <v>6</v>
      </c>
      <c r="F36" s="15">
        <v>24</v>
      </c>
    </row>
    <row r="37" spans="1:6" x14ac:dyDescent="0.3">
      <c r="A37" s="15" t="s">
        <v>142</v>
      </c>
      <c r="B37" s="15">
        <v>20042</v>
      </c>
      <c r="C37" s="15" t="s">
        <v>5</v>
      </c>
      <c r="D37" s="15">
        <v>0</v>
      </c>
      <c r="E37" s="15" t="s">
        <v>6</v>
      </c>
      <c r="F37" s="15">
        <v>24</v>
      </c>
    </row>
    <row r="38" spans="1:6" x14ac:dyDescent="0.3">
      <c r="A38" s="15" t="s">
        <v>143</v>
      </c>
      <c r="B38" s="15">
        <v>20044</v>
      </c>
      <c r="C38" s="15" t="s">
        <v>5</v>
      </c>
      <c r="D38" s="15">
        <v>0</v>
      </c>
      <c r="E38" s="15" t="s">
        <v>6</v>
      </c>
      <c r="F38" s="15">
        <v>24</v>
      </c>
    </row>
    <row r="39" spans="1:6" x14ac:dyDescent="0.3">
      <c r="A39" s="15" t="s">
        <v>144</v>
      </c>
      <c r="B39" s="15">
        <v>20046</v>
      </c>
      <c r="C39" s="15" t="s">
        <v>5</v>
      </c>
      <c r="D39" s="15">
        <v>0</v>
      </c>
      <c r="E39" s="15" t="s">
        <v>6</v>
      </c>
      <c r="F39" s="15">
        <v>24</v>
      </c>
    </row>
    <row r="40" spans="1:6" x14ac:dyDescent="0.3">
      <c r="A40" s="15" t="s">
        <v>145</v>
      </c>
      <c r="B40" s="15">
        <v>20048</v>
      </c>
      <c r="C40" s="15" t="s">
        <v>5</v>
      </c>
      <c r="D40" s="15">
        <v>0</v>
      </c>
      <c r="E40" s="15" t="s">
        <v>6</v>
      </c>
      <c r="F40" s="15">
        <v>24</v>
      </c>
    </row>
    <row r="41" spans="1:6" x14ac:dyDescent="0.3">
      <c r="A41" s="15" t="s">
        <v>146</v>
      </c>
      <c r="B41" s="15">
        <v>20050</v>
      </c>
      <c r="C41" s="15" t="s">
        <v>5</v>
      </c>
      <c r="D41" s="15">
        <v>0</v>
      </c>
      <c r="E41" s="15" t="s">
        <v>6</v>
      </c>
      <c r="F41" s="15">
        <v>24</v>
      </c>
    </row>
    <row r="42" spans="1:6" x14ac:dyDescent="0.3">
      <c r="A42" s="15" t="s">
        <v>147</v>
      </c>
      <c r="B42" s="15">
        <v>20052</v>
      </c>
      <c r="C42" s="15" t="s">
        <v>5</v>
      </c>
      <c r="D42" s="15">
        <v>0</v>
      </c>
      <c r="E42" s="15" t="s">
        <v>6</v>
      </c>
      <c r="F42" s="15">
        <v>24</v>
      </c>
    </row>
    <row r="43" spans="1:6" x14ac:dyDescent="0.3">
      <c r="A43" s="15" t="s">
        <v>148</v>
      </c>
      <c r="B43" s="15">
        <v>20054</v>
      </c>
      <c r="C43" s="15" t="s">
        <v>5</v>
      </c>
      <c r="D43" s="15">
        <v>0</v>
      </c>
      <c r="E43" s="15" t="s">
        <v>6</v>
      </c>
      <c r="F43" s="15">
        <v>24</v>
      </c>
    </row>
    <row r="44" spans="1:6" x14ac:dyDescent="0.3">
      <c r="A44" s="15" t="s">
        <v>149</v>
      </c>
      <c r="B44" s="15">
        <v>20058</v>
      </c>
      <c r="C44" s="15" t="s">
        <v>5</v>
      </c>
      <c r="D44" s="15">
        <v>0</v>
      </c>
      <c r="E44" s="15" t="s">
        <v>6</v>
      </c>
      <c r="F44" s="15">
        <v>24</v>
      </c>
    </row>
    <row r="45" spans="1:6" x14ac:dyDescent="0.3">
      <c r="A45" s="15" t="s">
        <v>150</v>
      </c>
      <c r="B45" s="15">
        <v>20060</v>
      </c>
      <c r="C45" s="15" t="s">
        <v>5</v>
      </c>
      <c r="D45" s="15">
        <v>0</v>
      </c>
      <c r="E45" s="15" t="s">
        <v>6</v>
      </c>
      <c r="F45" s="15">
        <v>24</v>
      </c>
    </row>
    <row r="46" spans="1:6" x14ac:dyDescent="0.3">
      <c r="A46" s="15" t="s">
        <v>112</v>
      </c>
      <c r="B46" s="15">
        <v>21000</v>
      </c>
      <c r="C46" s="15" t="s">
        <v>5</v>
      </c>
      <c r="D46" s="15">
        <v>1</v>
      </c>
      <c r="E46" s="15" t="s">
        <v>6</v>
      </c>
      <c r="F46" s="15">
        <v>24</v>
      </c>
    </row>
    <row r="47" spans="1:6" x14ac:dyDescent="0.3">
      <c r="A47" s="15" t="s">
        <v>113</v>
      </c>
      <c r="B47" s="15">
        <v>21002</v>
      </c>
      <c r="C47" s="15" t="s">
        <v>5</v>
      </c>
      <c r="D47" s="15">
        <v>1</v>
      </c>
      <c r="E47" s="15" t="s">
        <v>6</v>
      </c>
      <c r="F47" s="15">
        <v>24</v>
      </c>
    </row>
    <row r="48" spans="1:6" x14ac:dyDescent="0.3">
      <c r="A48" s="15" t="s">
        <v>114</v>
      </c>
      <c r="B48" s="15">
        <v>21004</v>
      </c>
      <c r="C48" s="15" t="s">
        <v>5</v>
      </c>
      <c r="D48" s="15">
        <v>1</v>
      </c>
      <c r="E48" s="15" t="s">
        <v>6</v>
      </c>
      <c r="F48" s="15">
        <v>24</v>
      </c>
    </row>
    <row r="49" spans="1:6" x14ac:dyDescent="0.3">
      <c r="A49" s="15" t="s">
        <v>115</v>
      </c>
      <c r="B49" s="15">
        <v>21006</v>
      </c>
      <c r="C49" s="15" t="s">
        <v>5</v>
      </c>
      <c r="D49" s="15">
        <v>1</v>
      </c>
      <c r="E49" s="15" t="s">
        <v>6</v>
      </c>
      <c r="F49" s="15">
        <v>24</v>
      </c>
    </row>
    <row r="50" spans="1:6" x14ac:dyDescent="0.3">
      <c r="A50" s="15" t="s">
        <v>116</v>
      </c>
      <c r="B50" s="15">
        <v>21008</v>
      </c>
      <c r="C50" s="15" t="s">
        <v>5</v>
      </c>
      <c r="D50" s="15">
        <v>1</v>
      </c>
      <c r="E50" s="15" t="s">
        <v>6</v>
      </c>
      <c r="F50" s="15">
        <v>24</v>
      </c>
    </row>
    <row r="51" spans="1:6" x14ac:dyDescent="0.3">
      <c r="A51" s="15" t="s">
        <v>117</v>
      </c>
      <c r="B51" s="15">
        <v>21010</v>
      </c>
      <c r="C51" s="15" t="s">
        <v>5</v>
      </c>
      <c r="D51" s="15">
        <v>1</v>
      </c>
      <c r="E51" s="15" t="s">
        <v>6</v>
      </c>
      <c r="F51" s="15">
        <v>24</v>
      </c>
    </row>
    <row r="52" spans="1:6" x14ac:dyDescent="0.3">
      <c r="A52" s="15" t="s">
        <v>118</v>
      </c>
      <c r="B52" s="15">
        <v>21012</v>
      </c>
      <c r="C52" s="15" t="s">
        <v>5</v>
      </c>
      <c r="D52" s="15">
        <v>1</v>
      </c>
      <c r="E52" s="15" t="s">
        <v>6</v>
      </c>
      <c r="F52" s="15">
        <v>24</v>
      </c>
    </row>
    <row r="53" spans="1:6" x14ac:dyDescent="0.3">
      <c r="A53" s="15" t="s">
        <v>119</v>
      </c>
      <c r="B53" s="15">
        <v>21014</v>
      </c>
      <c r="C53" s="15" t="s">
        <v>5</v>
      </c>
      <c r="D53" s="15">
        <v>1</v>
      </c>
      <c r="E53" s="15" t="s">
        <v>6</v>
      </c>
      <c r="F53" s="15">
        <v>24</v>
      </c>
    </row>
    <row r="54" spans="1:6" x14ac:dyDescent="0.3">
      <c r="A54" s="15" t="s">
        <v>120</v>
      </c>
      <c r="B54" s="15">
        <v>21016</v>
      </c>
      <c r="C54" s="15" t="s">
        <v>5</v>
      </c>
      <c r="D54" s="15">
        <v>1</v>
      </c>
      <c r="E54" s="15" t="s">
        <v>6</v>
      </c>
      <c r="F54" s="15">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3" zoomScaleNormal="100" workbookViewId="0">
      <selection activeCell="B9" sqref="B9"/>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0" t="s">
        <v>85</v>
      </c>
      <c r="B1" s="39" t="s">
        <v>167</v>
      </c>
    </row>
    <row r="2" spans="1:3" ht="18" x14ac:dyDescent="0.35">
      <c r="B2" s="38" t="s">
        <v>166</v>
      </c>
    </row>
    <row r="5" spans="1:3" ht="14.4" x14ac:dyDescent="0.3">
      <c r="B5" s="1" t="s">
        <v>151</v>
      </c>
    </row>
    <row r="6" spans="1:3" ht="14.4" x14ac:dyDescent="0.3">
      <c r="A6" s="3" t="s">
        <v>53</v>
      </c>
      <c r="B6" s="1" t="s">
        <v>177</v>
      </c>
    </row>
    <row r="7" spans="1:3" ht="14.4" x14ac:dyDescent="0.3">
      <c r="A7" s="3" t="s">
        <v>153</v>
      </c>
      <c r="B7" s="1" t="s">
        <v>178</v>
      </c>
    </row>
    <row r="8" spans="1:3" x14ac:dyDescent="0.3">
      <c r="B8" s="2" t="s">
        <v>179</v>
      </c>
    </row>
    <row r="10" spans="1:3" ht="23.4" x14ac:dyDescent="0.45">
      <c r="A10" s="16" t="s">
        <v>162</v>
      </c>
    </row>
    <row r="11" spans="1:3" ht="14.4" x14ac:dyDescent="0.3">
      <c r="A11" s="30" t="s">
        <v>86</v>
      </c>
      <c r="B11" s="15" t="s">
        <v>87</v>
      </c>
      <c r="C11" s="15" t="s">
        <v>88</v>
      </c>
    </row>
    <row r="12" spans="1:3" ht="14.4" x14ac:dyDescent="0.3">
      <c r="A12" s="30">
        <v>44927</v>
      </c>
      <c r="B12" s="15" t="s">
        <v>59</v>
      </c>
      <c r="C12" s="15">
        <v>200</v>
      </c>
    </row>
    <row r="13" spans="1:3" ht="14.4" x14ac:dyDescent="0.3">
      <c r="A13" s="30">
        <v>44928</v>
      </c>
      <c r="B13" s="15" t="s">
        <v>60</v>
      </c>
      <c r="C13" s="15" t="e">
        <v>#N/A</v>
      </c>
    </row>
    <row r="14" spans="1:3" ht="14.4" x14ac:dyDescent="0.3">
      <c r="A14" s="30">
        <v>44929</v>
      </c>
      <c r="B14" s="15" t="s">
        <v>61</v>
      </c>
      <c r="C14" s="15">
        <v>50</v>
      </c>
    </row>
    <row r="15" spans="1:3" ht="14.4" x14ac:dyDescent="0.3">
      <c r="A15" s="30">
        <v>44930</v>
      </c>
      <c r="B15" s="15" t="s">
        <v>62</v>
      </c>
      <c r="C15" s="15" t="e">
        <v>#N/A</v>
      </c>
    </row>
    <row r="16" spans="1:3" ht="14.4" x14ac:dyDescent="0.3">
      <c r="A16" s="30">
        <v>44931</v>
      </c>
      <c r="B16" s="15" t="s">
        <v>63</v>
      </c>
      <c r="C16" s="15">
        <v>10</v>
      </c>
    </row>
    <row r="17" spans="1:3" ht="14.4" x14ac:dyDescent="0.3">
      <c r="A17" s="30">
        <v>44932</v>
      </c>
      <c r="B17" s="15" t="s">
        <v>154</v>
      </c>
      <c r="C17" s="15">
        <v>150</v>
      </c>
    </row>
    <row r="18" spans="1:3" ht="14.4" x14ac:dyDescent="0.3">
      <c r="A18" s="30">
        <v>44933</v>
      </c>
      <c r="B18" s="15" t="s">
        <v>155</v>
      </c>
      <c r="C18" s="15">
        <v>80</v>
      </c>
    </row>
    <row r="19" spans="1:3" ht="14.4" x14ac:dyDescent="0.3">
      <c r="A19" s="30">
        <v>44934</v>
      </c>
      <c r="B19" s="15" t="s">
        <v>156</v>
      </c>
      <c r="C19" s="15" t="e">
        <v>#N/A</v>
      </c>
    </row>
    <row r="20" spans="1:3" ht="14.4" x14ac:dyDescent="0.3">
      <c r="A20" s="30">
        <v>44935</v>
      </c>
      <c r="B20" s="15" t="s">
        <v>157</v>
      </c>
      <c r="C20" s="15">
        <v>30</v>
      </c>
    </row>
    <row r="21" spans="1:3" ht="14.4" x14ac:dyDescent="0.3">
      <c r="A21" s="30">
        <v>44936</v>
      </c>
      <c r="B21" s="15" t="s">
        <v>158</v>
      </c>
      <c r="C21" s="15" t="e">
        <v>#N/A</v>
      </c>
    </row>
    <row r="22" spans="1:3" ht="14.4" x14ac:dyDescent="0.3">
      <c r="B22" s="15" t="s">
        <v>159</v>
      </c>
      <c r="C22" s="23">
        <f t="array" ref="C22">SUM(_xlfn.IFNA(C12:C21,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6" zoomScaleNormal="100" workbookViewId="0">
      <selection activeCell="E23" sqref="E23"/>
    </sheetView>
  </sheetViews>
  <sheetFormatPr defaultColWidth="11" defaultRowHeight="13.8" x14ac:dyDescent="0.3"/>
  <cols>
    <col min="1" max="1" width="28.21875" style="2" bestFit="1" customWidth="1"/>
    <col min="2" max="16384" width="11" style="2"/>
  </cols>
  <sheetData>
    <row r="1" spans="1:14" ht="21" x14ac:dyDescent="0.4">
      <c r="A1" s="40" t="s">
        <v>98</v>
      </c>
      <c r="B1" s="39" t="s">
        <v>175</v>
      </c>
    </row>
    <row r="3" spans="1:14" ht="14.4" x14ac:dyDescent="0.3">
      <c r="B3" s="1" t="s">
        <v>151</v>
      </c>
    </row>
    <row r="4" spans="1:14" ht="18" x14ac:dyDescent="0.35">
      <c r="A4" s="41" t="s">
        <v>53</v>
      </c>
      <c r="B4" s="1"/>
      <c r="C4" s="2" t="s">
        <v>185</v>
      </c>
    </row>
    <row r="5" spans="1:14" ht="18" x14ac:dyDescent="0.35">
      <c r="A5" s="41" t="s">
        <v>153</v>
      </c>
      <c r="B5" s="1"/>
    </row>
    <row r="6" spans="1:14" ht="14.4" x14ac:dyDescent="0.3">
      <c r="A6" s="3"/>
      <c r="B6" s="1"/>
    </row>
    <row r="8" spans="1:14" ht="23.4" x14ac:dyDescent="0.45">
      <c r="A8" s="16" t="s">
        <v>162</v>
      </c>
      <c r="M8" s="16" t="s">
        <v>163</v>
      </c>
    </row>
    <row r="9" spans="1:14" ht="14.4" x14ac:dyDescent="0.3">
      <c r="A9" s="24"/>
      <c r="B9" s="24" t="s">
        <v>89</v>
      </c>
      <c r="C9" s="24" t="s">
        <v>90</v>
      </c>
      <c r="D9" s="24" t="s">
        <v>91</v>
      </c>
      <c r="E9" s="24" t="s">
        <v>92</v>
      </c>
      <c r="F9" s="24" t="s">
        <v>93</v>
      </c>
      <c r="G9" s="24" t="s">
        <v>94</v>
      </c>
      <c r="H9" s="24" t="s">
        <v>95</v>
      </c>
      <c r="I9" s="24" t="s">
        <v>96</v>
      </c>
      <c r="J9" s="24" t="s">
        <v>97</v>
      </c>
      <c r="M9" s="17" t="s">
        <v>43</v>
      </c>
      <c r="N9" s="17" t="s">
        <v>99</v>
      </c>
    </row>
    <row r="10" spans="1:14" ht="14.4" x14ac:dyDescent="0.3">
      <c r="A10" s="24" t="s">
        <v>89</v>
      </c>
      <c r="B10" s="23">
        <v>-1</v>
      </c>
      <c r="C10" s="23">
        <v>95</v>
      </c>
      <c r="D10" s="23">
        <v>-1</v>
      </c>
      <c r="E10" s="23">
        <v>185</v>
      </c>
      <c r="F10" s="23">
        <v>255</v>
      </c>
      <c r="G10" s="23">
        <v>305</v>
      </c>
      <c r="H10" s="23">
        <v>415</v>
      </c>
      <c r="I10" s="23">
        <v>480</v>
      </c>
      <c r="J10" s="23">
        <v>525</v>
      </c>
      <c r="M10" s="11">
        <v>10100</v>
      </c>
      <c r="N10" s="11" t="s">
        <v>89</v>
      </c>
    </row>
    <row r="11" spans="1:14" ht="14.4" x14ac:dyDescent="0.3">
      <c r="A11" s="24" t="s">
        <v>90</v>
      </c>
      <c r="B11" s="23">
        <v>95</v>
      </c>
      <c r="C11" s="23">
        <v>-1</v>
      </c>
      <c r="D11" s="23">
        <v>-1</v>
      </c>
      <c r="E11" s="23">
        <v>90</v>
      </c>
      <c r="F11" s="23">
        <v>160</v>
      </c>
      <c r="G11" s="23">
        <v>210</v>
      </c>
      <c r="H11" s="23">
        <v>325</v>
      </c>
      <c r="I11" s="23">
        <v>390</v>
      </c>
      <c r="J11" s="23">
        <v>430</v>
      </c>
      <c r="M11" s="11">
        <v>10102</v>
      </c>
      <c r="N11" s="11" t="s">
        <v>90</v>
      </c>
    </row>
    <row r="12" spans="1:14" ht="14.4" x14ac:dyDescent="0.3">
      <c r="A12" s="24" t="s">
        <v>91</v>
      </c>
      <c r="B12" s="23">
        <v>-1</v>
      </c>
      <c r="C12" s="23">
        <v>-1</v>
      </c>
      <c r="D12" s="23">
        <v>-1</v>
      </c>
      <c r="E12" s="23">
        <v>60</v>
      </c>
      <c r="F12" s="23">
        <v>130</v>
      </c>
      <c r="G12" s="23">
        <v>180</v>
      </c>
      <c r="H12" s="23">
        <v>295</v>
      </c>
      <c r="I12" s="23">
        <v>355</v>
      </c>
      <c r="J12" s="23">
        <v>400</v>
      </c>
      <c r="M12" s="11">
        <v>10104</v>
      </c>
      <c r="N12" s="11" t="s">
        <v>91</v>
      </c>
    </row>
    <row r="13" spans="1:14" ht="14.4" x14ac:dyDescent="0.3">
      <c r="A13" s="24" t="s">
        <v>92</v>
      </c>
      <c r="B13" s="23">
        <v>185</v>
      </c>
      <c r="C13" s="23">
        <v>90</v>
      </c>
      <c r="D13" s="23">
        <v>60</v>
      </c>
      <c r="E13" s="23">
        <v>-1</v>
      </c>
      <c r="F13" s="23">
        <v>70</v>
      </c>
      <c r="G13" s="23">
        <v>120</v>
      </c>
      <c r="H13" s="23">
        <v>235</v>
      </c>
      <c r="I13" s="23">
        <v>300</v>
      </c>
      <c r="J13" s="23">
        <v>340</v>
      </c>
      <c r="M13" s="11">
        <v>10106</v>
      </c>
      <c r="N13" s="11" t="s">
        <v>92</v>
      </c>
    </row>
    <row r="14" spans="1:14" ht="14.4" x14ac:dyDescent="0.3">
      <c r="A14" s="24" t="s">
        <v>93</v>
      </c>
      <c r="B14" s="23">
        <v>255</v>
      </c>
      <c r="C14" s="23">
        <v>160</v>
      </c>
      <c r="D14" s="23">
        <v>130</v>
      </c>
      <c r="E14" s="23">
        <v>70</v>
      </c>
      <c r="F14" s="23">
        <v>-1</v>
      </c>
      <c r="G14" s="23">
        <v>50</v>
      </c>
      <c r="H14" s="23">
        <v>165</v>
      </c>
      <c r="I14" s="23">
        <v>230</v>
      </c>
      <c r="J14" s="23">
        <v>270</v>
      </c>
      <c r="M14" s="11">
        <v>10108</v>
      </c>
      <c r="N14" s="11" t="s">
        <v>93</v>
      </c>
    </row>
    <row r="15" spans="1:14" ht="14.4" x14ac:dyDescent="0.3">
      <c r="A15" s="24" t="s">
        <v>94</v>
      </c>
      <c r="B15" s="23">
        <v>305</v>
      </c>
      <c r="C15" s="23">
        <v>210</v>
      </c>
      <c r="D15" s="23">
        <v>180</v>
      </c>
      <c r="E15" s="23">
        <v>120</v>
      </c>
      <c r="F15" s="23">
        <v>50</v>
      </c>
      <c r="G15" s="23">
        <v>-1</v>
      </c>
      <c r="H15" s="23">
        <v>115</v>
      </c>
      <c r="I15" s="23">
        <v>180</v>
      </c>
      <c r="J15" s="23">
        <v>220</v>
      </c>
      <c r="M15" s="11">
        <v>10110</v>
      </c>
      <c r="N15" s="11" t="s">
        <v>94</v>
      </c>
    </row>
    <row r="16" spans="1:14" ht="14.4" x14ac:dyDescent="0.3">
      <c r="A16" s="24" t="s">
        <v>95</v>
      </c>
      <c r="B16" s="23">
        <v>415</v>
      </c>
      <c r="C16" s="23">
        <v>325</v>
      </c>
      <c r="D16" s="23">
        <v>295</v>
      </c>
      <c r="E16" s="23">
        <v>235</v>
      </c>
      <c r="F16" s="23">
        <v>165</v>
      </c>
      <c r="G16" s="23">
        <v>115</v>
      </c>
      <c r="H16" s="23">
        <v>-1</v>
      </c>
      <c r="I16" s="23">
        <v>65</v>
      </c>
      <c r="J16" s="23">
        <v>105</v>
      </c>
      <c r="M16" s="11">
        <v>10112</v>
      </c>
      <c r="N16" s="11" t="s">
        <v>95</v>
      </c>
    </row>
    <row r="17" spans="1:14" ht="14.4" x14ac:dyDescent="0.3">
      <c r="A17" s="24" t="s">
        <v>96</v>
      </c>
      <c r="B17" s="23">
        <v>480</v>
      </c>
      <c r="C17" s="23">
        <v>390</v>
      </c>
      <c r="D17" s="23">
        <v>355</v>
      </c>
      <c r="E17" s="23">
        <v>300</v>
      </c>
      <c r="F17" s="23">
        <v>230</v>
      </c>
      <c r="G17" s="23">
        <v>180</v>
      </c>
      <c r="H17" s="23">
        <v>65</v>
      </c>
      <c r="I17" s="23">
        <v>-1</v>
      </c>
      <c r="J17" s="23">
        <v>40</v>
      </c>
      <c r="M17" s="11">
        <v>10114</v>
      </c>
      <c r="N17" s="11" t="s">
        <v>96</v>
      </c>
    </row>
    <row r="18" spans="1:14" ht="14.4" x14ac:dyDescent="0.3">
      <c r="A18" s="24" t="s">
        <v>97</v>
      </c>
      <c r="B18" s="23">
        <v>525</v>
      </c>
      <c r="C18" s="23">
        <v>430</v>
      </c>
      <c r="D18" s="23">
        <v>400</v>
      </c>
      <c r="E18" s="23">
        <v>340</v>
      </c>
      <c r="F18" s="23">
        <v>270</v>
      </c>
      <c r="G18" s="23">
        <v>220</v>
      </c>
      <c r="H18" s="23">
        <v>105</v>
      </c>
      <c r="I18" s="23">
        <v>40</v>
      </c>
      <c r="J18" s="23">
        <v>-1</v>
      </c>
      <c r="M18" s="12">
        <v>10116</v>
      </c>
      <c r="N18" s="12" t="s">
        <v>97</v>
      </c>
    </row>
    <row r="21" spans="1:14" ht="23.4" x14ac:dyDescent="0.45">
      <c r="A21" s="16" t="s">
        <v>168</v>
      </c>
    </row>
    <row r="22" spans="1:14" ht="14.4" x14ac:dyDescent="0.3">
      <c r="A22" s="13" t="s">
        <v>100</v>
      </c>
      <c r="B22" s="15" t="s">
        <v>101</v>
      </c>
      <c r="C22" s="14" t="s">
        <v>102</v>
      </c>
    </row>
    <row r="23" spans="1:14" ht="14.4" x14ac:dyDescent="0.3">
      <c r="A23" s="7">
        <v>10100</v>
      </c>
      <c r="B23" s="11">
        <v>10102</v>
      </c>
      <c r="C23" s="42">
        <f>INDEX($B$10:$J$18,MATCH(A23,$M$10:$M$18,0),MATCH(B23,$M$10:$M$18,0))</f>
        <v>95</v>
      </c>
    </row>
    <row r="24" spans="1:14" ht="14.4" x14ac:dyDescent="0.3">
      <c r="A24" s="7">
        <v>10100</v>
      </c>
      <c r="B24" s="11">
        <v>10104</v>
      </c>
      <c r="C24" s="42">
        <f t="shared" ref="C24:C35" si="0">INDEX($B$10:$J$18,MATCH(A24,$M$10:$M$18,0),MATCH(B24,$M$10:$M$18,0))</f>
        <v>-1</v>
      </c>
    </row>
    <row r="25" spans="1:14" ht="14.4" x14ac:dyDescent="0.3">
      <c r="A25" s="7">
        <v>10108</v>
      </c>
      <c r="B25" s="11">
        <v>10102</v>
      </c>
      <c r="C25" s="42">
        <f t="shared" si="0"/>
        <v>160</v>
      </c>
    </row>
    <row r="26" spans="1:14" ht="14.4" x14ac:dyDescent="0.3">
      <c r="A26" s="7">
        <v>10100</v>
      </c>
      <c r="B26" s="11">
        <v>10106</v>
      </c>
      <c r="C26" s="42">
        <f t="shared" si="0"/>
        <v>185</v>
      </c>
    </row>
    <row r="27" spans="1:14" ht="14.4" x14ac:dyDescent="0.3">
      <c r="A27" s="7">
        <v>10108</v>
      </c>
      <c r="B27" s="11">
        <v>10110</v>
      </c>
      <c r="C27" s="42">
        <f t="shared" si="0"/>
        <v>50</v>
      </c>
    </row>
    <row r="28" spans="1:14" ht="14.4" x14ac:dyDescent="0.3">
      <c r="A28" s="7">
        <v>10102</v>
      </c>
      <c r="B28" s="11">
        <v>10104</v>
      </c>
      <c r="C28" s="42">
        <f t="shared" si="0"/>
        <v>-1</v>
      </c>
    </row>
    <row r="29" spans="1:14" ht="14.4" x14ac:dyDescent="0.3">
      <c r="A29" s="7">
        <v>10106</v>
      </c>
      <c r="B29" s="11">
        <v>10108</v>
      </c>
      <c r="C29" s="42">
        <f t="shared" si="0"/>
        <v>70</v>
      </c>
    </row>
    <row r="30" spans="1:14" ht="14.4" x14ac:dyDescent="0.3">
      <c r="A30" s="7">
        <v>10102</v>
      </c>
      <c r="B30" s="11">
        <v>10106</v>
      </c>
      <c r="C30" s="42">
        <f t="shared" si="0"/>
        <v>90</v>
      </c>
    </row>
    <row r="31" spans="1:14" ht="14.4" x14ac:dyDescent="0.3">
      <c r="A31" s="7">
        <v>10110</v>
      </c>
      <c r="B31" s="11">
        <v>10114</v>
      </c>
      <c r="C31" s="42">
        <f t="shared" si="0"/>
        <v>180</v>
      </c>
    </row>
    <row r="32" spans="1:14" ht="14.4" x14ac:dyDescent="0.3">
      <c r="A32" s="7">
        <v>10104</v>
      </c>
      <c r="B32" s="11">
        <v>10106</v>
      </c>
      <c r="C32" s="42">
        <f t="shared" si="0"/>
        <v>60</v>
      </c>
    </row>
    <row r="33" spans="1:3" ht="14.4" x14ac:dyDescent="0.3">
      <c r="A33" s="7">
        <v>10110</v>
      </c>
      <c r="B33" s="11">
        <v>10112</v>
      </c>
      <c r="C33" s="42">
        <f t="shared" si="0"/>
        <v>115</v>
      </c>
    </row>
    <row r="34" spans="1:3" ht="14.4" x14ac:dyDescent="0.3">
      <c r="A34" s="7">
        <v>10100</v>
      </c>
      <c r="B34" s="11">
        <v>10114</v>
      </c>
      <c r="C34" s="42">
        <f t="shared" si="0"/>
        <v>480</v>
      </c>
    </row>
    <row r="35" spans="1:3" ht="14.4" x14ac:dyDescent="0.3">
      <c r="A35" s="9">
        <v>10112</v>
      </c>
      <c r="B35" s="12">
        <v>10116</v>
      </c>
      <c r="C35" s="42">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Rongala Yaswanth</cp:lastModifiedBy>
  <dcterms:created xsi:type="dcterms:W3CDTF">2015-02-10T17:33:11Z</dcterms:created>
  <dcterms:modified xsi:type="dcterms:W3CDTF">2023-12-10T17:47:23Z</dcterms:modified>
</cp:coreProperties>
</file>